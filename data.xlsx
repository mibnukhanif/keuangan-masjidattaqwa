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c245f0b87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SHADAQOH" sheetId="1" r:id="Ra21c0f71bd0b4e41"/>
    <x:sheet xmlns:r="http://schemas.openxmlformats.org/officeDocument/2006/relationships" name="REKAP" sheetId="2" r:id="R4e404f0108164be8"/>
    <x:sheet xmlns:r="http://schemas.openxmlformats.org/officeDocument/2006/relationships" name="PETUNJUK" sheetId="3" r:id="R8cc1dd1038574d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&quot;Rp&quot; 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3"/>
      <x:color rgb="FFFFFFFF"/>
      <x:name val="Carlito"/>
    </x:font>
    <x:font>
      <x:b/>
      <x:sz val="11"/>
      <x:name val="Carlito"/>
    </x:font>
    <x:font>
      <x:b/>
      <x:sz val="13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200" fontId="4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3" fillId="4" borderId="1" xfId="0" applyNumberFormat="1" applyFont="1" applyFill="1" applyBorder="1" applyAlignment="1">
      <x:alignment horizontal="center" vertical="center"/>
    </x:xf>
    <x:xf numFmtId="201" fontId="4" fillId="4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2357f73844c8a" /><Relationship Type="http://schemas.openxmlformats.org/officeDocument/2006/relationships/theme" Target="/xl/theme/theme1.xml" Id="Rbbfd96c878114f6d" /><Relationship Type="http://schemas.openxmlformats.org/officeDocument/2006/relationships/sharedStrings" Target="/xl/sharedStrings.xml" Id="R0d5d6afcc95b4092" /><Relationship Type="http://schemas.openxmlformats.org/officeDocument/2006/relationships/worksheet" Target="/xl/worksheets/sheet1.xml" Id="Ra21c0f71bd0b4e41" /><Relationship Type="http://schemas.openxmlformats.org/officeDocument/2006/relationships/worksheet" Target="/xl/worksheets/sheet2.xml" Id="R4e404f0108164be8" /><Relationship Type="http://schemas.openxmlformats.org/officeDocument/2006/relationships/worksheet" Target="/xl/worksheets/sheet3.xml" Id="R8cc1dd1038574df4" /></Relationships>
</file>

<file path=xl/tables/table1.xml><?xml version="1.0" encoding="utf-8"?>
<x:table xmlns:x="http://schemas.openxmlformats.org/spreadsheetml/2006/main" id="1" name="ShadaqohTable" displayName="ShadaqohTable" ref="A9:F109" headerRowCount="1" totalsRowCount="0" totalsRowShown="0">
  <x:tableColumns count="6">
    <x:tableColumn id="1" name="No."/>
    <x:tableColumn id="2" name="Nama Donatur"/>
    <x:tableColumn id="3" name="RT"/>
    <x:tableColumn id="4" name="Jenis Sumbangan"/>
    <x:tableColumn id="5" name="Nominal (Rp)"/>
    <x:tableColumn id="6" name="Keterangan / Bentuk Sumb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dabd8e74f34e55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20" hidden="0" customWidth="1"/>
    <x:col min="5" max="5" width="18" hidden="0" customWidth="1"/>
    <x:col min="6" max="6" width="42" hidden="0" customWidth="1"/>
  </x:cols>
  <x:sheetData>
    <x:row r="1">
      <x:c r="A1" s="7" t="str">
        <x:v>SHADAQOH JARIAH PEMBANGUNAN TEMPAT WUDHU</x:v>
      </x:c>
      <x:c r="B1" s="7"/>
      <x:c r="C1" s="7"/>
      <x:c r="D1" s="7"/>
      <x:c r="E1" s="7"/>
      <x:c r="F1" s="7"/>
    </x:row>
    <x:row r="2">
      <x:c r="A2" s="15" t="str">
        <x:v>MASJID JAMIE AT-TAQWA SEKETI</x:v>
      </x:c>
      <x:c r="B2" s="15"/>
      <x:c r="C2" s="15"/>
      <x:c r="D2" s="15"/>
      <x:c r="E2" s="15"/>
      <x:c r="F2" s="15"/>
    </x:row>
    <x:row r="4">
      <x:c r="A4" s="23" t="str">
        <x:v>Target Anggaran</x:v>
      </x:c>
      <x:c r="B4" s="60" t="n">
        <x:v>64619000</x:v>
      </x:c>
      <x:c r="C4" s="60" t="str">
        <x:v>Total Uang Tercatat</x:v>
      </x:c>
      <x:c r="D4" s="60" t="n">
        <x:f>SUM(E10:E109)</x:f>
        <x:v>10860000</x:v>
      </x:c>
      <x:c r="E4" s="60" t="str">
        <x:v>Sisa Target</x:v>
      </x:c>
      <x:c r="F4" s="60" t="n">
        <x:f>MAX(B4-D4,0)</x:f>
        <x:v>53759000</x:v>
      </x:c>
    </x:row>
    <x:row r="5">
      <x:c r="A5" s="30" t="str"/>
      <x:c r="B5" s="61" t="str"/>
      <x:c r="C5" s="61" t="str"/>
      <x:c r="D5" s="61" t="str"/>
      <x:c r="E5" s="61" t="str"/>
      <x:c r="F5" s="61" t="str"/>
    </x:row>
    <x:row r="6">
      <x:c r="A6" s="35" t="str">
        <x:v>PROGRES PENGUMPULAN UANG TUNAI</x:v>
      </x:c>
      <x:c r="B6" s="35"/>
      <x:c r="C6" s="35"/>
      <x:c r="D6" s="35"/>
      <x:c r="E6" s="35"/>
      <x:c r="F6" s="35"/>
    </x:row>
    <x:row r="7">
      <x:c r="A7" s="42" t="n">
        <x:f>IFERROR(D4/B4,0)</x:f>
        <x:v>0.16806202510097648</x:v>
      </x:c>
      <x:c r="B7" s="43"/>
      <x:c r="C7" s="43"/>
      <x:c r="D7" s="43"/>
      <x:c r="E7" s="43"/>
      <x:c r="F7" s="43"/>
    </x:row>
    <x:row r="9">
      <x:c r="A9" s="52" t="str">
        <x:v>No.</x:v>
      </x:c>
      <x:c r="B9" s="52" t="str">
        <x:v>Nama Donatur</x:v>
      </x:c>
      <x:c r="C9" s="52" t="str">
        <x:v>RT</x:v>
      </x:c>
      <x:c r="D9" s="52" t="str">
        <x:v>Jenis Sumbangan</x:v>
      </x:c>
      <x:c r="E9" s="52" t="str">
        <x:v>Nominal (Rp)</x:v>
      </x:c>
      <x:c r="F9" s="52" t="str">
        <x:v>Keterangan / Bentuk Sumbangan</x:v>
      </x:c>
    </x:row>
    <x:row r="10">
      <x:c r="A10" s="56" t="n">
        <x:v>1</x:v>
      </x:c>
      <x:c r="B10" s="56" t="str">
        <x:v>Bpk. Tampri</x:v>
      </x:c>
      <x:c r="C10" s="56" t="str">
        <x:v>RT. 09</x:v>
      </x:c>
      <x:c r="D10" s="56" t="str">
        <x:v>Uang Tunai</x:v>
      </x:c>
      <x:c r="E10" s="58" t="n">
        <x:v>2100000</x:v>
      </x:c>
      <x:c r="F10" s="56" t="str">
        <x:v>Rp1.400.000 + Rp200.000 + Rp500.000</x:v>
      </x:c>
    </x:row>
    <x:row r="11">
      <x:c r="A11" s="56" t="n">
        <x:v>2</x:v>
      </x:c>
      <x:c r="B11" s="56" t="str">
        <x:v>Bpk. Suswoyo</x:v>
      </x:c>
      <x:c r="C11" s="56" t="str">
        <x:v>RT. 09</x:v>
      </x:c>
      <x:c r="D11" s="56" t="str">
        <x:v>Uang Tunai</x:v>
      </x:c>
      <x:c r="E11" s="58" t="n">
        <x:v>1000000</x:v>
      </x:c>
      <x:c r="F11" s="56" t="str"/>
    </x:row>
    <x:row r="12">
      <x:c r="A12" s="56" t="n">
        <x:v>3</x:v>
      </x:c>
      <x:c r="B12" s="56" t="str">
        <x:v>Ibu. Tomisah</x:v>
      </x:c>
      <x:c r="C12" s="56" t="str">
        <x:v>RT. 11</x:v>
      </x:c>
      <x:c r="D12" s="56" t="str">
        <x:v>Uang Tunai</x:v>
      </x:c>
      <x:c r="E12" s="58" t="n">
        <x:v>500000</x:v>
      </x:c>
      <x:c r="F12" s="56" t="str">
        <x:v>Rp200.000 + Rp300.000</x:v>
      </x:c>
    </x:row>
    <x:row r="13">
      <x:c r="A13" s="56" t="n">
        <x:v>4</x:v>
      </x:c>
      <x:c r="B13" s="56" t="str">
        <x:v>Ibu. Wasil</x:v>
      </x:c>
      <x:c r="C13" s="56" t="str">
        <x:v>RT. 10</x:v>
      </x:c>
      <x:c r="D13" s="56" t="str">
        <x:v>Uang Tunai</x:v>
      </x:c>
      <x:c r="E13" s="58" t="n">
        <x:v>200000</x:v>
      </x:c>
      <x:c r="F13" s="56" t="str"/>
    </x:row>
    <x:row r="14">
      <x:c r="A14" s="56" t="n">
        <x:v>5</x:v>
      </x:c>
      <x:c r="B14" s="56" t="str">
        <x:v>An. Alm. Bp. Sardani</x:v>
      </x:c>
      <x:c r="C14" s="56" t="str">
        <x:v>RT. 09</x:v>
      </x:c>
      <x:c r="D14" s="56" t="str">
        <x:v>Uang Tunai</x:v>
      </x:c>
      <x:c r="E14" s="58" t="n">
        <x:v>200000</x:v>
      </x:c>
      <x:c r="F14" s="56" t="str"/>
    </x:row>
    <x:row r="15">
      <x:c r="A15" s="56" t="n">
        <x:v>6</x:v>
      </x:c>
      <x:c r="B15" s="56" t="str">
        <x:v>Ibu Janah</x:v>
      </x:c>
      <x:c r="C15" s="56" t="str">
        <x:v>RT. 10</x:v>
      </x:c>
      <x:c r="D15" s="56" t="str">
        <x:v>Material/Ikrar</x:v>
      </x:c>
      <x:c r="E15" s="58"/>
      <x:c r="F15" s="56" t="str">
        <x:v>Ikrar keramik penuh</x:v>
      </x:c>
    </x:row>
    <x:row r="16">
      <x:c r="A16" s="56" t="n">
        <x:v>7</x:v>
      </x:c>
      <x:c r="B16" s="56" t="str">
        <x:v>Bpk. Tobiin Ikror</x:v>
      </x:c>
      <x:c r="C16" s="56" t="str">
        <x:v>RT. 09</x:v>
      </x:c>
      <x:c r="D16" s="56" t="str">
        <x:v>Uang Tunai</x:v>
      </x:c>
      <x:c r="E16" s="58" t="n">
        <x:v>500000</x:v>
      </x:c>
      <x:c r="F16" s="56" t="str"/>
    </x:row>
    <x:row r="17">
      <x:c r="A17" s="56" t="n">
        <x:v>8</x:v>
      </x:c>
      <x:c r="B17" s="56" t="str">
        <x:v>Bp.</x:v>
      </x:c>
      <x:c r="C17" s="56" t="str"/>
      <x:c r="D17" s="56" t="str"/>
      <x:c r="E17" s="58"/>
      <x:c r="F17" s="56" t="str">
        <x:v>Belum ada data</x:v>
      </x:c>
    </x:row>
    <x:row r="18">
      <x:c r="A18" s="56" t="n">
        <x:v>9</x:v>
      </x:c>
      <x:c r="B18" s="56" t="str">
        <x:v>Ibu Mujiroh</x:v>
      </x:c>
      <x:c r="C18" s="56" t="str">
        <x:v>RT. 09</x:v>
      </x:c>
      <x:c r="D18" s="56" t="str">
        <x:v>Uang Tunai</x:v>
      </x:c>
      <x:c r="E18" s="58" t="n">
        <x:v>250000</x:v>
      </x:c>
      <x:c r="F18" s="56" t="str"/>
    </x:row>
    <x:row r="19">
      <x:c r="A19" s="56" t="n">
        <x:v>10</x:v>
      </x:c>
      <x:c r="B19" s="56" t="str">
        <x:v>I Siti</x:v>
      </x:c>
      <x:c r="C19" s="56" t="str">
        <x:v>RT. 09</x:v>
      </x:c>
      <x:c r="D19" s="56" t="str">
        <x:v>Uang Tunai</x:v>
      </x:c>
      <x:c r="E19" s="58" t="n">
        <x:v>500000</x:v>
      </x:c>
      <x:c r="F19" s="56" t="str">
        <x:v>Ikrar</x:v>
      </x:c>
    </x:row>
    <x:row r="20">
      <x:c r="A20" s="56" t="n">
        <x:v>11</x:v>
      </x:c>
      <x:c r="B20" s="56" t="str">
        <x:v>Bpk. Khanif Ikror</x:v>
      </x:c>
      <x:c r="C20" s="56" t="str">
        <x:v>RT. 09</x:v>
      </x:c>
      <x:c r="D20" s="56" t="str">
        <x:v>Uang Tunai</x:v>
      </x:c>
      <x:c r="E20" s="58" t="n">
        <x:v>200000</x:v>
      </x:c>
      <x:c r="F20" s="56" t="str">
        <x:v>Ikrar</x:v>
      </x:c>
    </x:row>
    <x:row r="21">
      <x:c r="A21" s="56" t="n">
        <x:v>12</x:v>
      </x:c>
      <x:c r="B21" s="56" t="str">
        <x:v>Ibu Jurinah</x:v>
      </x:c>
      <x:c r="C21" s="56" t="str">
        <x:v>RT. 11</x:v>
      </x:c>
      <x:c r="D21" s="56" t="str">
        <x:v>Uang Tunai</x:v>
      </x:c>
      <x:c r="E21" s="58" t="n">
        <x:v>100000</x:v>
      </x:c>
      <x:c r="F21" s="56" t="str"/>
    </x:row>
    <x:row r="22">
      <x:c r="A22" s="56" t="n">
        <x:v>13</x:v>
      </x:c>
      <x:c r="B22" s="56" t="str">
        <x:v>Bpk. Patkhudin</x:v>
      </x:c>
      <x:c r="C22" s="56" t="str">
        <x:v>RT. 10</x:v>
      </x:c>
      <x:c r="D22" s="56" t="str">
        <x:v>Uang Tunai</x:v>
      </x:c>
      <x:c r="E22" s="58" t="n">
        <x:v>360000</x:v>
      </x:c>
      <x:c r="F22" s="56" t="str"/>
    </x:row>
    <x:row r="23">
      <x:c r="A23" s="56" t="n">
        <x:v>14</x:v>
      </x:c>
      <x:c r="B23" s="56" t="str">
        <x:v>Ibu Tasminah</x:v>
      </x:c>
      <x:c r="C23" s="56" t="str">
        <x:v>RT. 10</x:v>
      </x:c>
      <x:c r="D23" s="56" t="str">
        <x:v>Uang Tunai</x:v>
      </x:c>
      <x:c r="E23" s="58" t="n">
        <x:v>150000</x:v>
      </x:c>
      <x:c r="F23" s="56" t="str"/>
    </x:row>
    <x:row r="24">
      <x:c r="A24" s="56" t="n">
        <x:v>15</x:v>
      </x:c>
      <x:c r="B24" s="56" t="str">
        <x:v>Almh. Ibu Kunirah</x:v>
      </x:c>
      <x:c r="C24" s="56" t="str">
        <x:v>RT. 10</x:v>
      </x:c>
      <x:c r="D24" s="56" t="str">
        <x:v>Material/Ikrar</x:v>
      </x:c>
      <x:c r="E24" s="58"/>
      <x:c r="F24" s="56" t="str">
        <x:v>Semen 20 sak</x:v>
      </x:c>
    </x:row>
    <x:row r="25">
      <x:c r="A25" s="56" t="n">
        <x:v>16</x:v>
      </x:c>
      <x:c r="B25" s="56" t="str">
        <x:v>Almh. Ibu Dainah</x:v>
      </x:c>
      <x:c r="C25" s="56" t="str">
        <x:v>RT. 09</x:v>
      </x:c>
      <x:c r="D25" s="56" t="str">
        <x:v>Uang Tunai</x:v>
      </x:c>
      <x:c r="E25" s="58" t="n">
        <x:v>300000</x:v>
      </x:c>
      <x:c r="F25" s="56" t="str"/>
    </x:row>
    <x:row r="26">
      <x:c r="A26" s="56" t="n">
        <x:v>17</x:v>
      </x:c>
      <x:c r="B26" s="56" t="str">
        <x:v>Ibu Khotijah</x:v>
      </x:c>
      <x:c r="C26" s="56" t="str">
        <x:v>RT. 11</x:v>
      </x:c>
      <x:c r="D26" s="56" t="str">
        <x:v>Uang Tunai</x:v>
      </x:c>
      <x:c r="E26" s="58" t="n">
        <x:v>500000</x:v>
      </x:c>
      <x:c r="F26" s="56" t="str"/>
    </x:row>
    <x:row r="27">
      <x:c r="A27" s="56" t="n">
        <x:v>18</x:v>
      </x:c>
      <x:c r="B27" s="56" t="str">
        <x:v>Bpk. Solihin</x:v>
      </x:c>
      <x:c r="C27" s="56" t="str">
        <x:v>RT. 11</x:v>
      </x:c>
      <x:c r="D27" s="56" t="str">
        <x:v>Uang Tunai</x:v>
      </x:c>
      <x:c r="E27" s="58" t="n">
        <x:v>500000</x:v>
      </x:c>
      <x:c r="F27" s="56" t="str"/>
    </x:row>
    <x:row r="28">
      <x:c r="A28" s="56" t="n">
        <x:v>19</x:v>
      </x:c>
      <x:c r="B28" s="56" t="str">
        <x:v>Ibu Ema</x:v>
      </x:c>
      <x:c r="C28" s="56" t="str">
        <x:v>RT. 11</x:v>
      </x:c>
      <x:c r="D28" s="56" t="str">
        <x:v>Uang Tunai</x:v>
      </x:c>
      <x:c r="E28" s="58" t="n">
        <x:v>200000</x:v>
      </x:c>
      <x:c r="F28" s="56" t="str"/>
    </x:row>
    <x:row r="29">
      <x:c r="A29" s="56" t="n">
        <x:v>20</x:v>
      </x:c>
      <x:c r="B29" s="56" t="str">
        <x:v>Ibu Waunah</x:v>
      </x:c>
      <x:c r="C29" s="56" t="str">
        <x:v>RT. 09</x:v>
      </x:c>
      <x:c r="D29" s="56" t="str">
        <x:v>Uang Tunai</x:v>
      </x:c>
      <x:c r="E29" s="58" t="n">
        <x:v>200000</x:v>
      </x:c>
      <x:c r="F29" s="56" t="str"/>
    </x:row>
    <x:row r="30">
      <x:c r="A30" s="56" t="n">
        <x:v>21</x:v>
      </x:c>
      <x:c r="B30" s="56" t="str">
        <x:v>Bpk. Rasim / Ibu Kasih</x:v>
      </x:c>
      <x:c r="C30" s="56" t="str">
        <x:v>RT. 09</x:v>
      </x:c>
      <x:c r="D30" s="56" t="str">
        <x:v>Material/Ikrar</x:v>
      </x:c>
      <x:c r="E30" s="58"/>
      <x:c r="F30" s="56" t="str">
        <x:v>Hebel 2 kubik</x:v>
      </x:c>
    </x:row>
    <x:row r="31">
      <x:c r="A31" s="56" t="n">
        <x:v>22</x:v>
      </x:c>
      <x:c r="B31" s="56" t="str">
        <x:v>Almh. Ibu Royati</x:v>
      </x:c>
      <x:c r="C31" s="56" t="str">
        <x:v>RT. 09</x:v>
      </x:c>
      <x:c r="D31" s="56" t="str">
        <x:v>Material/Ikrar</x:v>
      </x:c>
      <x:c r="E31" s="58"/>
      <x:c r="F31" s="56" t="str">
        <x:v>1 rit pasir</x:v>
      </x:c>
    </x:row>
    <x:row r="32">
      <x:c r="A32" s="56" t="n">
        <x:v>23</x:v>
      </x:c>
      <x:c r="B32" s="56" t="str">
        <x:v>Ibu Khotijah</x:v>
      </x:c>
      <x:c r="C32" s="56" t="str">
        <x:v>RT. 09</x:v>
      </x:c>
      <x:c r="D32" s="56" t="str">
        <x:v>Uang Tunai</x:v>
      </x:c>
      <x:c r="E32" s="58" t="n">
        <x:v>100000</x:v>
      </x:c>
      <x:c r="F32" s="56" t="str"/>
    </x:row>
    <x:row r="33">
      <x:c r="A33" s="56" t="n">
        <x:v>24</x:v>
      </x:c>
      <x:c r="B33" s="56" t="str">
        <x:v>Ibu Suminah</x:v>
      </x:c>
      <x:c r="C33" s="56" t="str">
        <x:v>RT. 09</x:v>
      </x:c>
      <x:c r="D33" s="56" t="str">
        <x:v>Uang Tunai</x:v>
      </x:c>
      <x:c r="E33" s="58" t="n">
        <x:v>100000</x:v>
      </x:c>
      <x:c r="F33" s="56" t="str"/>
    </x:row>
    <x:row r="34">
      <x:c r="A34" s="56" t="n">
        <x:v>25</x:v>
      </x:c>
      <x:c r="B34" s="56" t="str">
        <x:v>Ibu Kliwon</x:v>
      </x:c>
      <x:c r="C34" s="56" t="str">
        <x:v>RT. 09</x:v>
      </x:c>
      <x:c r="D34" s="56" t="str">
        <x:v>Uang Tunai</x:v>
      </x:c>
      <x:c r="E34" s="58" t="n">
        <x:v>50000</x:v>
      </x:c>
      <x:c r="F34" s="56" t="str"/>
    </x:row>
    <x:row r="35">
      <x:c r="A35" s="56" t="n">
        <x:v>26</x:v>
      </x:c>
      <x:c r="B35" s="56" t="str">
        <x:v>Mba Tia</x:v>
      </x:c>
      <x:c r="C35" s="56" t="str">
        <x:v>RT. 09</x:v>
      </x:c>
      <x:c r="D35" s="56" t="str">
        <x:v>Uang Tunai</x:v>
      </x:c>
      <x:c r="E35" s="58" t="n">
        <x:v>500000</x:v>
      </x:c>
      <x:c r="F35" s="56" t="str"/>
    </x:row>
    <x:row r="36">
      <x:c r="A36" s="56" t="n">
        <x:v>27</x:v>
      </x:c>
      <x:c r="B36" s="56" t="str">
        <x:v>Ibu Sati</x:v>
      </x:c>
      <x:c r="C36" s="56" t="str">
        <x:v>RT. 10</x:v>
      </x:c>
      <x:c r="D36" s="56" t="str">
        <x:v>Uang Tunai</x:v>
      </x:c>
      <x:c r="E36" s="58" t="n">
        <x:v>200000</x:v>
      </x:c>
      <x:c r="F36" s="56" t="str"/>
    </x:row>
    <x:row r="37">
      <x:c r="A37" s="56" t="n">
        <x:v>28</x:v>
      </x:c>
      <x:c r="B37" s="56" t="str">
        <x:v>Ibu Katirah</x:v>
      </x:c>
      <x:c r="C37" s="56" t="str">
        <x:v>RT. 11</x:v>
      </x:c>
      <x:c r="D37" s="56" t="str">
        <x:v>Uang Tunai</x:v>
      </x:c>
      <x:c r="E37" s="58" t="n">
        <x:v>100000</x:v>
      </x:c>
      <x:c r="F37" s="56" t="str"/>
    </x:row>
    <x:row r="38">
      <x:c r="A38" s="56" t="n">
        <x:v>29</x:v>
      </x:c>
      <x:c r="B38" s="56" t="str">
        <x:v>Ibu Jaronah</x:v>
      </x:c>
      <x:c r="C38" s="56" t="str">
        <x:v>RT. 11</x:v>
      </x:c>
      <x:c r="D38" s="56" t="str">
        <x:v>Uang Tunai</x:v>
      </x:c>
      <x:c r="E38" s="58" t="n">
        <x:v>100000</x:v>
      </x:c>
      <x:c r="F38" s="56" t="str"/>
    </x:row>
    <x:row r="39">
      <x:c r="A39" s="56" t="n">
        <x:v>30</x:v>
      </x:c>
      <x:c r="B39" s="56" t="str">
        <x:v>Bpk. Lukman</x:v>
      </x:c>
      <x:c r="C39" s="56" t="str">
        <x:v>RT. 11</x:v>
      </x:c>
      <x:c r="D39" s="56" t="str">
        <x:v>Uang Tunai</x:v>
      </x:c>
      <x:c r="E39" s="58" t="n">
        <x:v>500000</x:v>
      </x:c>
      <x:c r="F39" s="56" t="str"/>
    </x:row>
    <x:row r="40">
      <x:c r="A40" s="56" t="n">
        <x:v>31</x:v>
      </x:c>
      <x:c r="B40" s="56" t="str">
        <x:v>Ibu Supri</x:v>
      </x:c>
      <x:c r="C40" s="56" t="str">
        <x:v>RT. 09</x:v>
      </x:c>
      <x:c r="D40" s="56" t="str">
        <x:v>Uang Tunai</x:v>
      </x:c>
      <x:c r="E40" s="58" t="n">
        <x:v>200000</x:v>
      </x:c>
      <x:c r="F40" s="56" t="str"/>
    </x:row>
    <x:row r="41">
      <x:c r="A41" s="56" t="n">
        <x:v>32</x:v>
      </x:c>
      <x:c r="B41" s="56" t="str">
        <x:v>Hamba Allah</x:v>
      </x:c>
      <x:c r="C41" s="56" t="str">
        <x:v>RT. 11</x:v>
      </x:c>
      <x:c r="D41" s="56" t="str">
        <x:v>Uang Tunai</x:v>
      </x:c>
      <x:c r="E41" s="58" t="n">
        <x:v>50000</x:v>
      </x:c>
      <x:c r="F41" s="56" t="str"/>
    </x:row>
    <x:row r="42">
      <x:c r="A42" s="56" t="n">
        <x:v>33</x:v>
      </x:c>
      <x:c r="B42" s="56" t="str">
        <x:v>Bpk. Rosikin</x:v>
      </x:c>
      <x:c r="C42" s="56" t="str">
        <x:v>RT. 11</x:v>
      </x:c>
      <x:c r="D42" s="56" t="str">
        <x:v>Uang Tunai</x:v>
      </x:c>
      <x:c r="E42" s="58" t="n">
        <x:v>100000</x:v>
      </x:c>
      <x:c r="F42" s="56" t="str"/>
    </x:row>
    <x:row r="43">
      <x:c r="A43" s="56" t="n">
        <x:v>34</x:v>
      </x:c>
      <x:c r="B43" s="56" t="str">
        <x:v>An. Almh. Mbok Sami</x:v>
      </x:c>
      <x:c r="C43" s="56" t="str">
        <x:v>RT. 09</x:v>
      </x:c>
      <x:c r="D43" s="56" t="str">
        <x:v>Uang Tunai</x:v>
      </x:c>
      <x:c r="E43" s="58" t="n">
        <x:v>500000</x:v>
      </x:c>
      <x:c r="F43" s="56" t="str"/>
    </x:row>
    <x:row r="44">
      <x:c r="A44" s="56" t="n">
        <x:v>35</x:v>
      </x:c>
      <x:c r="B44" s="56" t="str">
        <x:v>Ibu Soimah</x:v>
      </x:c>
      <x:c r="C44" s="56" t="str">
        <x:v>RT. 10</x:v>
      </x:c>
      <x:c r="D44" s="56" t="str">
        <x:v>Uang Tunai</x:v>
      </x:c>
      <x:c r="E44" s="58" t="n">
        <x:v>200000</x:v>
      </x:c>
      <x:c r="F44" s="56" t="str"/>
    </x:row>
    <x:row r="45">
      <x:c r="A45" s="56" t="n">
        <x:v>36</x:v>
      </x:c>
      <x:c r="B45" s="56" t="str">
        <x:v>Ibu Supinah</x:v>
      </x:c>
      <x:c r="C45" s="56" t="str">
        <x:v>RT. 10</x:v>
      </x:c>
      <x:c r="D45" s="56" t="str">
        <x:v>Uang Tunai</x:v>
      </x:c>
      <x:c r="E45" s="58" t="n">
        <x:v>200000</x:v>
      </x:c>
      <x:c r="F45" s="56" t="str"/>
    </x:row>
    <x:row r="46">
      <x:c r="A46" s="56" t="n">
        <x:v>37</x:v>
      </x:c>
      <x:c r="B46" s="56" t="str">
        <x:v>Bpk. Tamil</x:v>
      </x:c>
      <x:c r="C46" s="56" t="str">
        <x:v>RT. 10</x:v>
      </x:c>
      <x:c r="D46" s="56" t="str">
        <x:v>Uang Tunai</x:v>
      </x:c>
      <x:c r="E46" s="58" t="n">
        <x:v>200000</x:v>
      </x:c>
      <x:c r="F46" s="56" t="str"/>
    </x:row>
    <x:row r="47">
      <x:c r="A47" s="56" t="n">
        <x:v>38</x:v>
      </x:c>
      <x:c r="B47" s="56" t="str"/>
      <x:c r="C47" s="56" t="str"/>
      <x:c r="D47" s="56" t="str"/>
      <x:c r="E47" s="58"/>
      <x:c r="F47" s="56" t="str"/>
    </x:row>
    <x:row r="48">
      <x:c r="A48" s="56" t="n">
        <x:v>39</x:v>
      </x:c>
      <x:c r="B48" s="56" t="str"/>
      <x:c r="C48" s="56" t="str"/>
      <x:c r="D48" s="56" t="str"/>
      <x:c r="E48" s="58"/>
      <x:c r="F48" s="56" t="str"/>
    </x:row>
    <x:row r="49">
      <x:c r="A49" s="56" t="n">
        <x:v>40</x:v>
      </x:c>
      <x:c r="B49" s="56" t="str"/>
      <x:c r="C49" s="56" t="str"/>
      <x:c r="D49" s="56" t="str"/>
      <x:c r="E49" s="58"/>
      <x:c r="F49" s="56" t="str"/>
    </x:row>
    <x:row r="50">
      <x:c r="A50" s="56" t="n">
        <x:v>41</x:v>
      </x:c>
      <x:c r="B50" s="56" t="str"/>
      <x:c r="C50" s="56" t="str"/>
      <x:c r="D50" s="56" t="str"/>
      <x:c r="E50" s="58"/>
      <x:c r="F50" s="56" t="str"/>
    </x:row>
    <x:row r="51">
      <x:c r="A51" s="56" t="n">
        <x:v>42</x:v>
      </x:c>
      <x:c r="B51" s="56" t="str"/>
      <x:c r="C51" s="56" t="str"/>
      <x:c r="D51" s="56" t="str"/>
      <x:c r="E51" s="58"/>
      <x:c r="F51" s="56" t="str"/>
    </x:row>
    <x:row r="52">
      <x:c r="A52" s="56" t="n">
        <x:v>43</x:v>
      </x:c>
      <x:c r="B52" s="56" t="str"/>
      <x:c r="C52" s="56" t="str"/>
      <x:c r="D52" s="56" t="str"/>
      <x:c r="E52" s="58"/>
      <x:c r="F52" s="56" t="str"/>
    </x:row>
    <x:row r="53">
      <x:c r="A53" s="56" t="n">
        <x:v>44</x:v>
      </x:c>
      <x:c r="B53" s="56" t="str"/>
      <x:c r="C53" s="56" t="str"/>
      <x:c r="D53" s="56" t="str"/>
      <x:c r="E53" s="58"/>
      <x:c r="F53" s="56" t="str"/>
    </x:row>
    <x:row r="54">
      <x:c r="A54" s="56" t="n">
        <x:v>45</x:v>
      </x:c>
      <x:c r="B54" s="56" t="str"/>
      <x:c r="C54" s="56" t="str"/>
      <x:c r="D54" s="56" t="str"/>
      <x:c r="E54" s="58"/>
      <x:c r="F54" s="56" t="str"/>
    </x:row>
    <x:row r="55">
      <x:c r="A55" s="56" t="n">
        <x:v>46</x:v>
      </x:c>
      <x:c r="B55" s="56" t="str"/>
      <x:c r="C55" s="56" t="str"/>
      <x:c r="D55" s="56" t="str"/>
      <x:c r="E55" s="58"/>
      <x:c r="F55" s="56" t="str"/>
    </x:row>
    <x:row r="56">
      <x:c r="A56" s="56" t="n">
        <x:v>47</x:v>
      </x:c>
      <x:c r="B56" s="56" t="str"/>
      <x:c r="C56" s="56" t="str"/>
      <x:c r="D56" s="56" t="str"/>
      <x:c r="E56" s="58"/>
      <x:c r="F56" s="56" t="str"/>
    </x:row>
    <x:row r="57">
      <x:c r="A57" s="56" t="n">
        <x:v>48</x:v>
      </x:c>
      <x:c r="B57" s="56" t="str"/>
      <x:c r="C57" s="56" t="str"/>
      <x:c r="D57" s="56" t="str"/>
      <x:c r="E57" s="58"/>
      <x:c r="F57" s="56" t="str"/>
    </x:row>
    <x:row r="58">
      <x:c r="A58" s="56" t="n">
        <x:v>49</x:v>
      </x:c>
      <x:c r="B58" s="56" t="str"/>
      <x:c r="C58" s="56" t="str"/>
      <x:c r="D58" s="56" t="str"/>
      <x:c r="E58" s="58"/>
      <x:c r="F58" s="56" t="str"/>
    </x:row>
    <x:row r="59">
      <x:c r="A59" s="56" t="n">
        <x:v>50</x:v>
      </x:c>
      <x:c r="B59" s="56" t="str"/>
      <x:c r="C59" s="56" t="str"/>
      <x:c r="D59" s="56" t="str"/>
      <x:c r="E59" s="58"/>
      <x:c r="F59" s="56" t="str"/>
    </x:row>
    <x:row r="60">
      <x:c r="A60" s="56" t="n">
        <x:v>51</x:v>
      </x:c>
      <x:c r="B60" s="56" t="str"/>
      <x:c r="C60" s="56" t="str"/>
      <x:c r="D60" s="56" t="str"/>
      <x:c r="E60" s="58"/>
      <x:c r="F60" s="56" t="str"/>
    </x:row>
    <x:row r="61">
      <x:c r="A61" s="56" t="n">
        <x:v>52</x:v>
      </x:c>
      <x:c r="B61" s="56" t="str"/>
      <x:c r="C61" s="56" t="str"/>
      <x:c r="D61" s="56" t="str"/>
      <x:c r="E61" s="58"/>
      <x:c r="F61" s="56" t="str"/>
    </x:row>
    <x:row r="62">
      <x:c r="A62" s="56" t="n">
        <x:v>53</x:v>
      </x:c>
      <x:c r="B62" s="56" t="str"/>
      <x:c r="C62" s="56" t="str"/>
      <x:c r="D62" s="56" t="str"/>
      <x:c r="E62" s="58"/>
      <x:c r="F62" s="56" t="str"/>
    </x:row>
    <x:row r="63">
      <x:c r="A63" s="56" t="n">
        <x:v>54</x:v>
      </x:c>
      <x:c r="B63" s="56" t="str"/>
      <x:c r="C63" s="56" t="str"/>
      <x:c r="D63" s="56" t="str"/>
      <x:c r="E63" s="58"/>
      <x:c r="F63" s="56" t="str"/>
    </x:row>
    <x:row r="64">
      <x:c r="A64" s="56" t="n">
        <x:v>55</x:v>
      </x:c>
      <x:c r="B64" s="56" t="str"/>
      <x:c r="C64" s="56" t="str"/>
      <x:c r="D64" s="56" t="str"/>
      <x:c r="E64" s="58"/>
      <x:c r="F64" s="56" t="str"/>
    </x:row>
    <x:row r="65">
      <x:c r="A65" s="56" t="n">
        <x:v>56</x:v>
      </x:c>
      <x:c r="B65" s="56" t="str"/>
      <x:c r="C65" s="56" t="str"/>
      <x:c r="D65" s="56" t="str"/>
      <x:c r="E65" s="58"/>
      <x:c r="F65" s="56" t="str"/>
    </x:row>
    <x:row r="66">
      <x:c r="A66" s="56" t="n">
        <x:v>57</x:v>
      </x:c>
      <x:c r="B66" s="56" t="str"/>
      <x:c r="C66" s="56" t="str"/>
      <x:c r="D66" s="56" t="str"/>
      <x:c r="E66" s="58"/>
      <x:c r="F66" s="56" t="str"/>
    </x:row>
    <x:row r="67">
      <x:c r="A67" s="56" t="n">
        <x:v>58</x:v>
      </x:c>
      <x:c r="B67" s="56" t="str"/>
      <x:c r="C67" s="56" t="str"/>
      <x:c r="D67" s="56" t="str"/>
      <x:c r="E67" s="58"/>
      <x:c r="F67" s="56" t="str"/>
    </x:row>
    <x:row r="68">
      <x:c r="A68" s="56" t="n">
        <x:v>59</x:v>
      </x:c>
      <x:c r="B68" s="56" t="str"/>
      <x:c r="C68" s="56" t="str"/>
      <x:c r="D68" s="56" t="str"/>
      <x:c r="E68" s="58"/>
      <x:c r="F68" s="56" t="str"/>
    </x:row>
    <x:row r="69">
      <x:c r="A69" s="56" t="n">
        <x:v>60</x:v>
      </x:c>
      <x:c r="B69" s="56" t="str"/>
      <x:c r="C69" s="56" t="str"/>
      <x:c r="D69" s="56" t="str"/>
      <x:c r="E69" s="58"/>
      <x:c r="F69" s="56" t="str"/>
    </x:row>
    <x:row r="70">
      <x:c r="A70" s="56" t="n">
        <x:v>61</x:v>
      </x:c>
      <x:c r="B70" s="56" t="str"/>
      <x:c r="C70" s="56" t="str"/>
      <x:c r="D70" s="56" t="str"/>
      <x:c r="E70" s="58"/>
      <x:c r="F70" s="56" t="str"/>
    </x:row>
    <x:row r="71">
      <x:c r="A71" s="56" t="n">
        <x:v>62</x:v>
      </x:c>
      <x:c r="B71" s="56" t="str"/>
      <x:c r="C71" s="56" t="str"/>
      <x:c r="D71" s="56" t="str"/>
      <x:c r="E71" s="58"/>
      <x:c r="F71" s="56" t="str"/>
    </x:row>
    <x:row r="72">
      <x:c r="A72" s="56" t="n">
        <x:v>63</x:v>
      </x:c>
      <x:c r="B72" s="56" t="str"/>
      <x:c r="C72" s="56" t="str"/>
      <x:c r="D72" s="56" t="str"/>
      <x:c r="E72" s="58"/>
      <x:c r="F72" s="56" t="str"/>
    </x:row>
    <x:row r="73">
      <x:c r="A73" s="56" t="n">
        <x:v>64</x:v>
      </x:c>
      <x:c r="B73" s="56" t="str"/>
      <x:c r="C73" s="56" t="str"/>
      <x:c r="D73" s="56" t="str"/>
      <x:c r="E73" s="58"/>
      <x:c r="F73" s="56" t="str"/>
    </x:row>
    <x:row r="74">
      <x:c r="A74" s="56" t="n">
        <x:v>65</x:v>
      </x:c>
      <x:c r="B74" s="56" t="str"/>
      <x:c r="C74" s="56" t="str"/>
      <x:c r="D74" s="56" t="str"/>
      <x:c r="E74" s="58"/>
      <x:c r="F74" s="56" t="str"/>
    </x:row>
    <x:row r="75">
      <x:c r="A75" s="56" t="n">
        <x:v>66</x:v>
      </x:c>
      <x:c r="B75" s="56" t="str"/>
      <x:c r="C75" s="56" t="str"/>
      <x:c r="D75" s="56" t="str"/>
      <x:c r="E75" s="58"/>
      <x:c r="F75" s="56" t="str"/>
    </x:row>
    <x:row r="76">
      <x:c r="A76" s="56" t="n">
        <x:v>67</x:v>
      </x:c>
      <x:c r="B76" s="56" t="str"/>
      <x:c r="C76" s="56" t="str"/>
      <x:c r="D76" s="56" t="str"/>
      <x:c r="E76" s="58"/>
      <x:c r="F76" s="56" t="str"/>
    </x:row>
    <x:row r="77">
      <x:c r="A77" s="56" t="n">
        <x:v>68</x:v>
      </x:c>
      <x:c r="B77" s="56" t="str"/>
      <x:c r="C77" s="56" t="str"/>
      <x:c r="D77" s="56" t="str"/>
      <x:c r="E77" s="58"/>
      <x:c r="F77" s="56" t="str"/>
    </x:row>
    <x:row r="78">
      <x:c r="A78" s="56" t="n">
        <x:v>69</x:v>
      </x:c>
      <x:c r="B78" s="56" t="str"/>
      <x:c r="C78" s="56" t="str"/>
      <x:c r="D78" s="56" t="str"/>
      <x:c r="E78" s="58"/>
      <x:c r="F78" s="56" t="str"/>
    </x:row>
    <x:row r="79">
      <x:c r="A79" s="56" t="n">
        <x:v>70</x:v>
      </x:c>
      <x:c r="B79" s="56" t="str"/>
      <x:c r="C79" s="56" t="str"/>
      <x:c r="D79" s="56" t="str"/>
      <x:c r="E79" s="58"/>
      <x:c r="F79" s="56" t="str"/>
    </x:row>
    <x:row r="80">
      <x:c r="A80" s="56" t="n">
        <x:v>71</x:v>
      </x:c>
      <x:c r="B80" s="56" t="str"/>
      <x:c r="C80" s="56" t="str"/>
      <x:c r="D80" s="56" t="str"/>
      <x:c r="E80" s="58"/>
      <x:c r="F80" s="56" t="str"/>
    </x:row>
    <x:row r="81">
      <x:c r="A81" s="56" t="n">
        <x:v>72</x:v>
      </x:c>
      <x:c r="B81" s="56" t="str"/>
      <x:c r="C81" s="56" t="str"/>
      <x:c r="D81" s="56" t="str"/>
      <x:c r="E81" s="58"/>
      <x:c r="F81" s="56" t="str"/>
    </x:row>
    <x:row r="82">
      <x:c r="A82" s="56" t="n">
        <x:v>73</x:v>
      </x:c>
      <x:c r="B82" s="56" t="str"/>
      <x:c r="C82" s="56" t="str"/>
      <x:c r="D82" s="56" t="str"/>
      <x:c r="E82" s="58"/>
      <x:c r="F82" s="56" t="str"/>
    </x:row>
    <x:row r="83">
      <x:c r="A83" s="56" t="n">
        <x:v>74</x:v>
      </x:c>
      <x:c r="B83" s="56" t="str"/>
      <x:c r="C83" s="56" t="str"/>
      <x:c r="D83" s="56" t="str"/>
      <x:c r="E83" s="58"/>
      <x:c r="F83" s="56" t="str"/>
    </x:row>
    <x:row r="84">
      <x:c r="A84" s="56" t="n">
        <x:v>75</x:v>
      </x:c>
      <x:c r="B84" s="56" t="str"/>
      <x:c r="C84" s="56" t="str"/>
      <x:c r="D84" s="56" t="str"/>
      <x:c r="E84" s="58"/>
      <x:c r="F84" s="56" t="str"/>
    </x:row>
    <x:row r="85">
      <x:c r="A85" s="56" t="n">
        <x:v>76</x:v>
      </x:c>
      <x:c r="B85" s="56" t="str"/>
      <x:c r="C85" s="56" t="str"/>
      <x:c r="D85" s="56" t="str"/>
      <x:c r="E85" s="58"/>
      <x:c r="F85" s="56" t="str"/>
    </x:row>
    <x:row r="86">
      <x:c r="A86" s="56" t="n">
        <x:v>77</x:v>
      </x:c>
      <x:c r="B86" s="56" t="str"/>
      <x:c r="C86" s="56" t="str"/>
      <x:c r="D86" s="56" t="str"/>
      <x:c r="E86" s="58"/>
      <x:c r="F86" s="56" t="str"/>
    </x:row>
    <x:row r="87">
      <x:c r="A87" s="56" t="n">
        <x:v>78</x:v>
      </x:c>
      <x:c r="B87" s="56" t="str"/>
      <x:c r="C87" s="56" t="str"/>
      <x:c r="D87" s="56" t="str"/>
      <x:c r="E87" s="58"/>
      <x:c r="F87" s="56" t="str"/>
    </x:row>
    <x:row r="88">
      <x:c r="A88" s="56" t="n">
        <x:v>79</x:v>
      </x:c>
      <x:c r="B88" s="56" t="str"/>
      <x:c r="C88" s="56" t="str"/>
      <x:c r="D88" s="56" t="str"/>
      <x:c r="E88" s="58"/>
      <x:c r="F88" s="56" t="str"/>
    </x:row>
    <x:row r="89">
      <x:c r="A89" s="56" t="n">
        <x:v>80</x:v>
      </x:c>
      <x:c r="B89" s="56" t="str"/>
      <x:c r="C89" s="56" t="str"/>
      <x:c r="D89" s="56" t="str"/>
      <x:c r="E89" s="58"/>
      <x:c r="F89" s="56" t="str"/>
    </x:row>
    <x:row r="90">
      <x:c r="A90" s="56" t="n">
        <x:v>81</x:v>
      </x:c>
      <x:c r="B90" s="56" t="str"/>
      <x:c r="C90" s="56" t="str"/>
      <x:c r="D90" s="56" t="str"/>
      <x:c r="E90" s="58"/>
      <x:c r="F90" s="56" t="str"/>
    </x:row>
    <x:row r="91">
      <x:c r="A91" s="56" t="n">
        <x:v>82</x:v>
      </x:c>
      <x:c r="B91" s="56" t="str"/>
      <x:c r="C91" s="56" t="str"/>
      <x:c r="D91" s="56" t="str"/>
      <x:c r="E91" s="58"/>
      <x:c r="F91" s="56" t="str"/>
    </x:row>
    <x:row r="92">
      <x:c r="A92" s="56" t="n">
        <x:v>83</x:v>
      </x:c>
      <x:c r="B92" s="56" t="str"/>
      <x:c r="C92" s="56" t="str"/>
      <x:c r="D92" s="56" t="str"/>
      <x:c r="E92" s="58"/>
      <x:c r="F92" s="56" t="str"/>
    </x:row>
    <x:row r="93">
      <x:c r="A93" s="56" t="n">
        <x:v>84</x:v>
      </x:c>
      <x:c r="B93" s="56" t="str"/>
      <x:c r="C93" s="56" t="str"/>
      <x:c r="D93" s="56" t="str"/>
      <x:c r="E93" s="58"/>
      <x:c r="F93" s="56" t="str"/>
    </x:row>
    <x:row r="94">
      <x:c r="A94" s="56" t="n">
        <x:v>85</x:v>
      </x:c>
      <x:c r="B94" s="56" t="str"/>
      <x:c r="C94" s="56" t="str"/>
      <x:c r="D94" s="56" t="str"/>
      <x:c r="E94" s="58"/>
      <x:c r="F94" s="56" t="str"/>
    </x:row>
    <x:row r="95">
      <x:c r="A95" s="56" t="n">
        <x:v>86</x:v>
      </x:c>
      <x:c r="B95" s="56" t="str"/>
      <x:c r="C95" s="56" t="str"/>
      <x:c r="D95" s="56" t="str"/>
      <x:c r="E95" s="58"/>
      <x:c r="F95" s="56" t="str"/>
    </x:row>
    <x:row r="96">
      <x:c r="A96" s="56" t="n">
        <x:v>87</x:v>
      </x:c>
      <x:c r="B96" s="56" t="str"/>
      <x:c r="C96" s="56" t="str"/>
      <x:c r="D96" s="56" t="str"/>
      <x:c r="E96" s="58"/>
      <x:c r="F96" s="56" t="str"/>
    </x:row>
    <x:row r="97">
      <x:c r="A97" s="56" t="n">
        <x:v>88</x:v>
      </x:c>
      <x:c r="B97" s="56" t="str"/>
      <x:c r="C97" s="56" t="str"/>
      <x:c r="D97" s="56" t="str"/>
      <x:c r="E97" s="58"/>
      <x:c r="F97" s="56" t="str"/>
    </x:row>
    <x:row r="98">
      <x:c r="A98" s="56" t="n">
        <x:v>89</x:v>
      </x:c>
      <x:c r="B98" s="56" t="str"/>
      <x:c r="C98" s="56" t="str"/>
      <x:c r="D98" s="56" t="str"/>
      <x:c r="E98" s="58"/>
      <x:c r="F98" s="56" t="str"/>
    </x:row>
    <x:row r="99">
      <x:c r="A99" s="56" t="n">
        <x:v>90</x:v>
      </x:c>
      <x:c r="B99" s="56" t="str"/>
      <x:c r="C99" s="56" t="str"/>
      <x:c r="D99" s="56" t="str"/>
      <x:c r="E99" s="58"/>
      <x:c r="F99" s="56" t="str"/>
    </x:row>
    <x:row r="100">
      <x:c r="A100" s="56" t="n">
        <x:v>91</x:v>
      </x:c>
      <x:c r="B100" s="56" t="str"/>
      <x:c r="C100" s="56" t="str"/>
      <x:c r="D100" s="56" t="str"/>
      <x:c r="E100" s="58"/>
      <x:c r="F100" s="56" t="str"/>
    </x:row>
    <x:row r="101">
      <x:c r="A101" s="56" t="n">
        <x:v>92</x:v>
      </x:c>
      <x:c r="B101" s="56" t="str"/>
      <x:c r="C101" s="56" t="str"/>
      <x:c r="D101" s="56" t="str"/>
      <x:c r="E101" s="58"/>
      <x:c r="F101" s="56" t="str"/>
    </x:row>
    <x:row r="102">
      <x:c r="A102" s="56" t="n">
        <x:v>93</x:v>
      </x:c>
      <x:c r="B102" s="56" t="str"/>
      <x:c r="C102" s="56" t="str"/>
      <x:c r="D102" s="56" t="str"/>
      <x:c r="E102" s="58"/>
      <x:c r="F102" s="56" t="str"/>
    </x:row>
    <x:row r="103">
      <x:c r="A103" s="56" t="n">
        <x:v>94</x:v>
      </x:c>
      <x:c r="B103" s="56" t="str"/>
      <x:c r="C103" s="56" t="str"/>
      <x:c r="D103" s="56" t="str"/>
      <x:c r="E103" s="58"/>
      <x:c r="F103" s="56" t="str"/>
    </x:row>
    <x:row r="104">
      <x:c r="A104" s="56" t="n">
        <x:v>95</x:v>
      </x:c>
      <x:c r="B104" s="56" t="str"/>
      <x:c r="C104" s="56" t="str"/>
      <x:c r="D104" s="56" t="str"/>
      <x:c r="E104" s="58"/>
      <x:c r="F104" s="56" t="str"/>
    </x:row>
    <x:row r="105">
      <x:c r="A105" s="56" t="n">
        <x:v>96</x:v>
      </x:c>
      <x:c r="B105" s="56" t="str"/>
      <x:c r="C105" s="56" t="str"/>
      <x:c r="D105" s="56" t="str"/>
      <x:c r="E105" s="58"/>
      <x:c r="F105" s="56" t="str"/>
    </x:row>
    <x:row r="106">
      <x:c r="A106" s="56" t="n">
        <x:v>97</x:v>
      </x:c>
      <x:c r="B106" s="56" t="str"/>
      <x:c r="C106" s="56" t="str"/>
      <x:c r="D106" s="56" t="str"/>
      <x:c r="E106" s="58"/>
      <x:c r="F106" s="56" t="str"/>
    </x:row>
    <x:row r="107">
      <x:c r="A107" s="56" t="n">
        <x:v>98</x:v>
      </x:c>
      <x:c r="B107" s="56" t="str"/>
      <x:c r="C107" s="56" t="str"/>
      <x:c r="D107" s="56" t="str"/>
      <x:c r="E107" s="58"/>
      <x:c r="F107" s="56" t="str"/>
    </x:row>
    <x:row r="108">
      <x:c r="A108" s="56" t="n">
        <x:v>99</x:v>
      </x:c>
      <x:c r="B108" s="56" t="str"/>
      <x:c r="C108" s="56" t="str"/>
      <x:c r="D108" s="56" t="str"/>
      <x:c r="E108" s="58"/>
      <x:c r="F108" s="56" t="str"/>
    </x:row>
    <x:row r="109">
      <x:c r="A109" s="56" t="n">
        <x:v>100</x:v>
      </x:c>
      <x:c r="B109" s="56" t="str"/>
      <x:c r="C109" s="56" t="str"/>
      <x:c r="D109" s="56" t="str"/>
      <x:c r="E109" s="58"/>
      <x:c r="F109" s="56" t="str"/>
    </x:row>
  </x:sheetData>
  <x:mergeCells>
    <x:mergeCell ref="A1:F1"/>
    <x:mergeCell ref="A2:F2"/>
    <x:mergeCell ref="A6:F6"/>
    <x:mergeCell ref="A7:F7"/>
  </x:mergeCells>
  <x:dataValidations count="2">
    <x:dataValidation type="list" sqref="D10:D109">
      <x:formula1>"Uang Tunai,Material/Ikrar,Transfer,Barang/Jasa"</x:formula1>
    </x:dataValidation>
    <x:dataValidation type="decimal" operator="greaterThanOrEqual" sqref="E10:E109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dabd8e74f34e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2" hidden="0" customWidth="1"/>
    <x:col min="4" max="4" width="35" hidden="0" customWidth="1"/>
    <x:col min="5" max="5" width="22" hidden="0" customWidth="1"/>
  </x:cols>
  <x:sheetData>
    <x:row r="1">
      <x:c r="A1" s="6" t="str">
        <x:v>REKAP SHADAQOH JARIAH</x:v>
      </x:c>
      <x:c r="B1" s="6"/>
      <x:c r="C1" s="6"/>
      <x:c r="D1" s="6"/>
      <x:c r="E1" s="6"/>
    </x:row>
    <x:row r="3">
      <x:c r="A3" t="str">
        <x:v>Target Anggaran</x:v>
      </x:c>
      <x:c r="B3" s="64" t="n">
        <x:f>'INPUT SHADAQOH'!B4</x:f>
        <x:v>64619000</x:v>
      </x:c>
      <x:c r="D3" t="str">
        <x:v>Jumlah Donatur Berisi Nama</x:v>
      </x:c>
      <x:c r="E3" t="n">
        <x:f>COUNTIF('INPUT SHADAQOH'!B10:B109,"&lt;&gt;")</x:f>
        <x:v>100</x:v>
      </x:c>
    </x:row>
    <x:row r="4">
      <x:c r="A4" t="str">
        <x:v>Total Uang Tercatat</x:v>
      </x:c>
      <x:c r="B4" s="64" t="n">
        <x:f>'INPUT SHADAQOH'!D4</x:f>
        <x:v>10860000</x:v>
      </x:c>
      <x:c r="D4" t="str">
        <x:v>Donasi Uang Tunai</x:v>
      </x:c>
      <x:c r="E4" s="64" t="n">
        <x:f>SUMIF('INPUT SHADAQOH'!D10:D109,"Uang Tunai",'INPUT SHADAQOH'!E10:E109)</x:f>
        <x:v>10860000</x:v>
      </x:c>
    </x:row>
    <x:row r="5">
      <x:c r="A5" t="str">
        <x:v>Sisa Target</x:v>
      </x:c>
      <x:c r="B5" s="64" t="n">
        <x:f>'INPUT SHADAQOH'!F4</x:f>
        <x:v>53759000</x:v>
      </x:c>
      <x:c r="D5" t="str">
        <x:v>Material/Ikrar (nilai diisi)</x:v>
      </x:c>
      <x:c r="E5" s="64" t="n">
        <x:f>SUMIF('INPUT SHADAQOH'!D10:D109,"Material/Ikrar",'INPUT SHADAQOH'!E10:E109)</x:f>
        <x:v>0</x:v>
      </x:c>
    </x:row>
    <x:row r="6">
      <x:c r="A6" t="str">
        <x:v>Progress</x:v>
      </x:c>
      <x:c r="B6" s="2" t="n">
        <x:f>'INPUT SHADAQOH'!A7</x:f>
        <x:v>0.16806202510097648</x:v>
      </x:c>
      <x:c r="D6" t="str">
        <x:v>Transfer</x:v>
      </x:c>
      <x:c r="E6" s="64" t="n">
        <x:f>SUMIF('INPUT SHADAQOH'!D10:D109,"Transfer",'INPUT SHADAQOH'!E10:E109)</x:f>
        <x:v>0</x:v>
      </x:c>
    </x:row>
    <x:row r="9">
      <x:c r="A9" s="35" t="str">
        <x:v>REKAP PER RT</x:v>
      </x:c>
      <x:c r="B9" s="35"/>
      <x:c r="C9" s="35"/>
    </x:row>
    <x:row r="10">
      <x:c r="A10" s="35" t="str">
        <x:v>RT</x:v>
      </x:c>
      <x:c r="B10" s="35" t="str">
        <x:v>Jumlah Donatur</x:v>
      </x:c>
      <x:c r="C10" s="35" t="str">
        <x:v>Total Uang (Rp)</x:v>
      </x:c>
    </x:row>
    <x:row r="11">
      <x:c r="A11" t="str">
        <x:v>RT. 09</x:v>
      </x:c>
      <x:c r="B11" t="n">
        <x:f>COUNTIF('INPUT SHADAQOH'!C10:C109,A11)</x:f>
        <x:v>17</x:v>
      </x:c>
      <x:c r="C11" s="64" t="n">
        <x:f>SUMIF('INPUT SHADAQOH'!C10:C109,A11,'INPUT SHADAQOH'!E10:E109)</x:f>
        <x:v>6700000</x:v>
      </x:c>
    </x:row>
    <x:row r="12">
      <x:c r="A12" t="str">
        <x:v>RT. 10</x:v>
      </x:c>
      <x:c r="B12" t="n">
        <x:f>COUNTIF('INPUT SHADAQOH'!C10:C109,A12)</x:f>
        <x:v>9</x:v>
      </x:c>
      <x:c r="C12" s="64" t="n">
        <x:f>SUMIF('INPUT SHADAQOH'!C10:C109,A12,'INPUT SHADAQOH'!E10:E109)</x:f>
        <x:v>1510000</x:v>
      </x:c>
    </x:row>
    <x:row r="13">
      <x:c r="A13" t="str">
        <x:v>RT. 11</x:v>
      </x:c>
      <x:c r="B13" t="n">
        <x:f>COUNTIF('INPUT SHADAQOH'!C10:C109,A13)</x:f>
        <x:v>10</x:v>
      </x:c>
      <x:c r="C13" s="64" t="n">
        <x:f>SUMIF('INPUT SHADAQOH'!C10:C109,A13,'INPUT SHADAQOH'!E10:E109)</x:f>
        <x:v>2650000</x:v>
      </x:c>
    </x:row>
    <x:row r="14">
      <x:c r="A14" t="str">
        <x:v>Lainnya</x:v>
      </x:c>
      <x:c r="B14" t="n">
        <x:f>COUNTBLANK('INPUT SHADAQOH'!C10:C109)</x:f>
        <x:v>64</x:v>
      </x:c>
      <x:c r="C14" s="64" t="n">
        <x:f>SUMIF('INPUT SHADAQOH'!C10:C109,"",'INPUT SHADAQOH'!E10:E109)</x:f>
        <x:v>0</x:v>
      </x:c>
    </x:row>
    <x:row r="17">
      <x:c r="A17" s="35" t="str">
        <x:v>REKAP JENIS SUMBANGAN</x:v>
      </x:c>
      <x:c r="B17" s="35"/>
      <x:c r="C17" s="35"/>
    </x:row>
    <x:row r="18">
      <x:c r="A18" s="35" t="str">
        <x:v>Jenis</x:v>
      </x:c>
      <x:c r="B18" s="35" t="str">
        <x:v>Jumlah</x:v>
      </x:c>
      <x:c r="C18" s="35" t="str">
        <x:v>Total Nominal (Rp)</x:v>
      </x:c>
    </x:row>
    <x:row r="19">
      <x:c r="A19" t="str">
        <x:v>Uang Tunai</x:v>
      </x:c>
      <x:c r="B19" t="n">
        <x:f>COUNTIF('INPUT SHADAQOH'!D10:D109,A19)</x:f>
        <x:v>32</x:v>
      </x:c>
      <x:c r="C19" s="64" t="n">
        <x:f>SUMIF('INPUT SHADAQOH'!D10:D109,A19,'INPUT SHADAQOH'!E10:E109)</x:f>
        <x:v>10860000</x:v>
      </x:c>
    </x:row>
    <x:row r="20">
      <x:c r="A20" t="str">
        <x:v>Material/Ikrar</x:v>
      </x:c>
      <x:c r="B20" t="n">
        <x:f>COUNTIF('INPUT SHADAQOH'!D10:D109,A20)</x:f>
        <x:v>4</x:v>
      </x:c>
      <x:c r="C20" s="64" t="n">
        <x:f>SUMIF('INPUT SHADAQOH'!D10:D109,A20,'INPUT SHADAQOH'!E10:E109)</x:f>
        <x:v>0</x:v>
      </x:c>
    </x:row>
    <x:row r="21">
      <x:c r="A21" t="str">
        <x:v>Transfer</x:v>
      </x:c>
      <x:c r="B21" t="n">
        <x:f>COUNTIF('INPUT SHADAQOH'!D10:D109,A21)</x:f>
        <x:v>0</x:v>
      </x:c>
      <x:c r="C21" s="64" t="n">
        <x:f>SUMIF('INPUT SHADAQOH'!D10:D109,A21,'INPUT SHADAQOH'!E10:E109)</x:f>
        <x:v>0</x:v>
      </x:c>
    </x:row>
    <x:row r="22">
      <x:c r="A22" t="str">
        <x:v>Barang/Jasa</x:v>
      </x:c>
      <x:c r="B22" t="n">
        <x:f>COUNTIF('INPUT SHADAQOH'!D10:D109,A22)</x:f>
        <x:v>0</x:v>
      </x:c>
      <x:c r="C22" s="64" t="n">
        <x:f>SUMIF('INPUT SHADAQOH'!D10:D109,A22,'INPUT SHADAQOH'!E10:E109)</x:f>
        <x:v>0</x:v>
      </x:c>
    </x:row>
  </x:sheetData>
  <x:mergeCells>
    <x:mergeCell ref="A1:E1"/>
    <x:mergeCell ref="A9:C9"/>
    <x:mergeCell ref="A17:C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0" hidden="0" customWidth="1"/>
  </x:cols>
  <x:sheetData>
    <x:row r="1">
      <x:c r="A1" s="6" t="str">
        <x:v>PETUNJUK ADMIN</x:v>
      </x:c>
      <x:c r="B1" s="6"/>
    </x:row>
    <x:row r="3">
      <x:c r="A3" s="34" t="str">
        <x:v>1</x:v>
      </x:c>
      <x:c r="B3" s="34" t="str">
        <x:v>Edit / tambah / hapus data cukup dilakukan di sheet INPUT SHADAQOH.</x:v>
      </x:c>
    </x:row>
    <x:row r="4">
      <x:c r="A4" t="str">
        <x:v>2</x:v>
      </x:c>
      <x:c r="B4" s="56" t="str">
        <x:v>Website publik akan membaca baris yang mempunyai Nama Donatur.</x:v>
      </x:c>
    </x:row>
    <x:row r="5">
      <x:c r="A5" t="str">
        <x:v>3</x:v>
      </x:c>
      <x:c r="B5" s="56" t="str">
        <x:v>Untuk material/ikrar, tulis bentuk sumbangan pada Keterangan; nominal boleh kosong sampai ada harga/taksiran.</x:v>
      </x:c>
    </x:row>
    <x:row r="6">
      <x:c r="A6" t="str">
        <x:v>4</x:v>
      </x:c>
      <x:c r="B6" s="56" t="str">
        <x:v>Jangan mengubah nama sheet INPUT SHADAQOH dan urutan kolom, karena website membacanya otomatis.</x:v>
      </x:c>
    </x:row>
    <x:row r="7">
      <x:c r="A7" t="str">
        <x:v>5</x:v>
      </x:c>
      <x:c r="B7" s="56" t="str">
        <x:v>Setelah spreadsheet diperbarui, simpan sebagai data.xlsx dan unggah menggantikan file data.xlsx di website.</x:v>
      </x:c>
    </x:row>
    <x:row r="8">
      <x:c r="A8" t="str">
        <x:v>6</x:v>
      </x:c>
      <x:c r="B8" s="56" t="str">
        <x:v>Website tidak memiliki menu admin; masyarakat hanya melihat laporan.</x:v>
      </x:c>
    </x:row>
    <x:row r="9">
      <x:c r="A9" t="str">
        <x:v>7</x:v>
      </x:c>
      <x:c r="B9" s="56" t="str">
        <x:v>Target pembangunan: Rp64.619.000.</x:v>
      </x:c>
    </x:row>
    <x:row r="10">
      <x:c r="A10" t="str">
        <x:v>8</x:v>
      </x:c>
      <x:c r="B10" s="56" t="str">
        <x:v>Baris kosong sampai No. 100 tersedia untuk donatur berikutnya.</x:v>
      </x:c>
    </x:row>
    <x:row r="11">
      <x:c r="A11" t="str">
        <x:v>9</x:v>
      </x:c>
      <x:c r="B11" s="56" t="str">
        <x:v>Untuk menjaga privasi, website publik dapat disetel untuk hanya menampilkan nama, RT, jenis, nominal, dan keterangan yang memang ingin diumumkan.</x:v>
      </x:c>
    </x:row>
  </x:sheetData>
  <x:mergeCells>
    <x:mergeCell ref="A1:B1"/>
  </x:mergeCells>
  <x:pageMargins left="0.7" right="0.7" top="0.75" bottom="0.75" header="0.3" footer="0.3"/>
</x:worksheet>
</file>